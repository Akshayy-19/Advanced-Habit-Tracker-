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16cbafe8986a03a/Desktop/"/>
    </mc:Choice>
  </mc:AlternateContent>
  <xr:revisionPtr revIDLastSave="4" documentId="8_{C23208BD-C08F-4D91-85C2-60E89B84AEC9}" xr6:coauthVersionLast="47" xr6:coauthVersionMax="47" xr10:uidLastSave="{8BDB1ADB-19FC-4CF6-AAC7-D27F018FBC5D}"/>
  <bookViews>
    <workbookView xWindow="-120" yWindow="-120" windowWidth="29040" windowHeight="16440" activeTab="2" xr2:uid="{00000000-000D-0000-FFFF-FFFF00000000}"/>
  </bookViews>
  <sheets>
    <sheet name="Daily_Tracker" sheetId="1" r:id="rId1"/>
    <sheet name="Weekly_Summary" sheetId="2" r:id="rId2"/>
    <sheet name="Dashboard" sheetId="3" r:id="rId3"/>
  </sheets>
  <definedNames>
    <definedName name="_xlnm.Print_Titles" localSheetId="0">Daily_Tracker!$1:$2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4" i="1"/>
  <c r="A3" i="1"/>
  <c r="D17" i="3" s="1"/>
  <c r="D25" i="3"/>
  <c r="D24" i="3"/>
  <c r="D23" i="3"/>
  <c r="D22" i="3"/>
  <c r="D21" i="3"/>
  <c r="D20" i="3"/>
  <c r="J10" i="3"/>
  <c r="J9" i="3"/>
  <c r="J8" i="3"/>
  <c r="J7" i="3"/>
  <c r="J6" i="3"/>
  <c r="J5" i="3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H7" i="1"/>
  <c r="I7" i="1" s="1"/>
  <c r="H6" i="1"/>
  <c r="I6" i="1" s="1"/>
  <c r="H5" i="1"/>
  <c r="I5" i="1" s="1"/>
  <c r="H4" i="1"/>
  <c r="I4" i="1" s="1"/>
  <c r="H3" i="1"/>
  <c r="B17" i="3" l="1"/>
  <c r="C17" i="3"/>
  <c r="J11" i="3"/>
  <c r="D4" i="3"/>
  <c r="D6" i="3"/>
  <c r="E17" i="3"/>
  <c r="C4" i="2"/>
  <c r="D4" i="2" s="1"/>
  <c r="I8" i="1"/>
  <c r="C5" i="2"/>
  <c r="D5" i="2" s="1"/>
  <c r="D7" i="3"/>
  <c r="C3" i="2"/>
  <c r="D3" i="2" s="1"/>
  <c r="D10" i="3"/>
  <c r="B11" i="3" s="1"/>
  <c r="C6" i="2"/>
  <c r="D6" i="2" s="1"/>
  <c r="D5" i="3"/>
  <c r="D8" i="3"/>
  <c r="I3" i="1"/>
  <c r="F17" i="3" s="1"/>
</calcChain>
</file>

<file path=xl/sharedStrings.xml><?xml version="1.0" encoding="utf-8"?>
<sst xmlns="http://schemas.openxmlformats.org/spreadsheetml/2006/main" count="234" uniqueCount="52">
  <si>
    <t>Date</t>
  </si>
  <si>
    <t>Wake Up</t>
  </si>
  <si>
    <t>Workout</t>
  </si>
  <si>
    <t>Study</t>
  </si>
  <si>
    <t>Diet</t>
  </si>
  <si>
    <t>Water</t>
  </si>
  <si>
    <t>Meditation</t>
  </si>
  <si>
    <t>Total Score</t>
  </si>
  <si>
    <t>Status</t>
  </si>
  <si>
    <t>Week</t>
  </si>
  <si>
    <t>Date Range</t>
  </si>
  <si>
    <t>% Achievement</t>
  </si>
  <si>
    <t>Week 1</t>
  </si>
  <si>
    <t>01 Apr – 07 Apr</t>
  </si>
  <si>
    <t>Week 2</t>
  </si>
  <si>
    <t>08 Apr – 14 Apr</t>
  </si>
  <si>
    <t>Week 3</t>
  </si>
  <si>
    <t>15 Apr – 21 Apr</t>
  </si>
  <si>
    <t>Week 4</t>
  </si>
  <si>
    <t>22 Apr – 28 Apr</t>
  </si>
  <si>
    <t>🎯  Total Score</t>
  </si>
  <si>
    <t>📈  Average Daily Score</t>
  </si>
  <si>
    <t>🏅  Best Day Score</t>
  </si>
  <si>
    <t>📅  Days Tracked</t>
  </si>
  <si>
    <t>💡  Perfect Days</t>
  </si>
  <si>
    <t>✅  Consistency %</t>
  </si>
  <si>
    <t>⏰  Wake Up Missed</t>
  </si>
  <si>
    <t>💪  Workout Missed</t>
  </si>
  <si>
    <t>📚  Study Missed</t>
  </si>
  <si>
    <t>🥗  Diet Missed</t>
  </si>
  <si>
    <t>💧  Water Missed</t>
  </si>
  <si>
    <t>🧘  Meditation Missed</t>
  </si>
  <si>
    <t>🔴  Weakest Habit (Max Misses)</t>
  </si>
  <si>
    <t>W.Up</t>
  </si>
  <si>
    <t>Wrkout</t>
  </si>
  <si>
    <t>⏰  Wake Up %</t>
  </si>
  <si>
    <t>💪  Workout %</t>
  </si>
  <si>
    <t>📚  Study %</t>
  </si>
  <si>
    <t>🥗  Diet %</t>
  </si>
  <si>
    <t>💧  Water %</t>
  </si>
  <si>
    <t>🧘  Meditation %</t>
  </si>
  <si>
    <t>Yes</t>
  </si>
  <si>
    <t>No</t>
  </si>
  <si>
    <t xml:space="preserve">  ADVANCED HABIT TRACKER  —  DAILY LOG</t>
  </si>
  <si>
    <t xml:space="preserve">  WEEKLY PERFORMANCE SUMMARY</t>
  </si>
  <si>
    <t xml:space="preserve">  HABIT TRACKER ANALYTICS SYSTEM</t>
  </si>
  <si>
    <t>CORE PERFORMANCE ANALYTICS</t>
  </si>
  <si>
    <t xml:space="preserve">  CONSISTENCY ANALYSIS</t>
  </si>
  <si>
    <t>WEAK HABIT DETECTION</t>
  </si>
  <si>
    <t xml:space="preserve"> HABIT-WISE CONSISTENCY %</t>
  </si>
  <si>
    <t xml:space="preserve">  SEARCH BY DATE</t>
  </si>
  <si>
    <t xml:space="preserve">  Enter Date to Search: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</si>
</sst>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&quot;%&quot;"/>
  </numFmts>
  <fonts count="2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1A237E"/>
      <name val="Calibri"/>
      <family val="2"/>
    </font>
    <font>
      <sz val="10"/>
      <color rgb="FF000000"/>
      <name val="Calibri"/>
      <family val="2"/>
    </font>
    <font>
      <b/>
      <sz val="11"/>
      <color rgb="FFF57F17"/>
      <name val="Calibri"/>
      <family val="2"/>
    </font>
    <font>
      <b/>
      <sz val="10"/>
      <color rgb="FF000000"/>
      <name val="Calibri"/>
      <family val="2"/>
    </font>
    <font>
      <sz val="11"/>
      <color rgb="FF004D40"/>
      <name val="Calibri"/>
      <family val="2"/>
    </font>
    <font>
      <b/>
      <sz val="12"/>
      <color rgb="FF004D40"/>
      <name val="Calibri"/>
      <family val="2"/>
    </font>
    <font>
      <b/>
      <sz val="11"/>
      <color rgb="FF1B5E20"/>
      <name val="Calibri"/>
      <family val="2"/>
    </font>
    <font>
      <b/>
      <sz val="22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rgb="FF0D47A1"/>
      <name val="Calibri"/>
      <family val="2"/>
    </font>
    <font>
      <b/>
      <sz val="12"/>
      <color rgb="FF880E4F"/>
      <name val="Calibri"/>
      <family val="2"/>
    </font>
    <font>
      <b/>
      <sz val="12"/>
      <color rgb="FFE65100"/>
      <name val="Calibri"/>
      <family val="2"/>
    </font>
    <font>
      <b/>
      <sz val="12"/>
      <color rgb="FF4A148C"/>
      <name val="Calibri"/>
      <family val="2"/>
    </font>
    <font>
      <b/>
      <sz val="12"/>
      <color rgb="FFB71C1C"/>
      <name val="Calibri"/>
      <family val="2"/>
    </font>
    <font>
      <b/>
      <sz val="11"/>
      <color rgb="FF004D40"/>
      <name val="Calibri"/>
      <family val="2"/>
    </font>
    <font>
      <b/>
      <sz val="10"/>
      <color rgb="FFFFFFFF"/>
      <name val="Calibri"/>
      <family val="2"/>
    </font>
    <font>
      <b/>
      <sz val="11"/>
      <color theme="7" tint="-0.499984740745262"/>
      <name val="Calibri"/>
      <family val="2"/>
    </font>
    <font>
      <sz val="11"/>
      <color theme="7" tint="-0.499984740745262"/>
      <name val="Calibri"/>
      <family val="2"/>
      <scheme val="minor"/>
    </font>
    <font>
      <b/>
      <sz val="12"/>
      <color theme="3"/>
      <name val="Calibri"/>
      <family val="2"/>
    </font>
    <font>
      <sz val="11"/>
      <color theme="3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1565C0"/>
      </patternFill>
    </fill>
    <fill>
      <patternFill patternType="solid">
        <fgColor rgb="FF0277BD"/>
      </patternFill>
    </fill>
    <fill>
      <patternFill patternType="solid">
        <fgColor rgb="FF00695C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880E4F"/>
      </patternFill>
    </fill>
    <fill>
      <patternFill patternType="solid">
        <fgColor rgb="FF4E342E"/>
      </patternFill>
    </fill>
    <fill>
      <patternFill patternType="solid">
        <fgColor rgb="FFBF360C"/>
      </patternFill>
    </fill>
    <fill>
      <patternFill patternType="solid">
        <fgColor rgb="FFE8EAF6"/>
      </patternFill>
    </fill>
    <fill>
      <patternFill patternType="solid">
        <fgColor rgb="FFFAFAFA"/>
      </patternFill>
    </fill>
    <fill>
      <patternFill patternType="solid">
        <fgColor rgb="FFFFF9C4"/>
      </patternFill>
    </fill>
    <fill>
      <patternFill patternType="solid">
        <fgColor rgb="FF004D40"/>
      </patternFill>
    </fill>
    <fill>
      <patternFill patternType="solid">
        <fgColor rgb="FF00796B"/>
      </patternFill>
    </fill>
    <fill>
      <patternFill patternType="solid">
        <fgColor rgb="FF00897B"/>
      </patternFill>
    </fill>
    <fill>
      <patternFill patternType="solid">
        <fgColor rgb="FF009688"/>
      </patternFill>
    </fill>
    <fill>
      <patternFill patternType="solid">
        <fgColor rgb="FFB2DFDB"/>
      </patternFill>
    </fill>
    <fill>
      <patternFill patternType="solid">
        <fgColor rgb="FFE0F2F1"/>
      </patternFill>
    </fill>
    <fill>
      <patternFill patternType="solid">
        <fgColor rgb="FFE3F2FD"/>
      </patternFill>
    </fill>
    <fill>
      <patternFill patternType="solid">
        <fgColor rgb="FF1976D2"/>
      </patternFill>
    </fill>
    <fill>
      <patternFill patternType="solid">
        <fgColor rgb="FF1E88E5"/>
      </patternFill>
    </fill>
    <fill>
      <patternFill patternType="solid">
        <fgColor rgb="FF42A5F5"/>
      </patternFill>
    </fill>
    <fill>
      <patternFill patternType="solid">
        <fgColor rgb="FF64B5F6"/>
      </patternFill>
    </fill>
    <fill>
      <patternFill patternType="solid">
        <fgColor rgb="FFAD1457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7B1FA2"/>
      </patternFill>
    </fill>
    <fill>
      <patternFill patternType="solid">
        <fgColor rgb="FF8E24AA"/>
      </patternFill>
    </fill>
    <fill>
      <patternFill patternType="solid">
        <fgColor rgb="FF9C27B0"/>
      </patternFill>
    </fill>
    <fill>
      <patternFill patternType="solid">
        <fgColor rgb="FFAB47BC"/>
      </patternFill>
    </fill>
    <fill>
      <patternFill patternType="solid">
        <fgColor rgb="FFBA68C8"/>
      </patternFill>
    </fill>
    <fill>
      <patternFill patternType="solid">
        <fgColor rgb="FFB71C1C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5C6BC0"/>
      </left>
      <right style="medium">
        <color rgb="FF5C6BC0"/>
      </right>
      <top style="medium">
        <color rgb="FF5C6BC0"/>
      </top>
      <bottom style="medium">
        <color rgb="FF5C6BC0"/>
      </bottom>
      <diagonal/>
    </border>
    <border>
      <left style="thin">
        <color rgb="FFBDBDBD"/>
      </left>
      <right/>
      <top/>
      <bottom/>
      <diagonal/>
    </border>
    <border>
      <left/>
      <right style="medium">
        <color rgb="FF5C6BC0"/>
      </right>
      <top/>
      <bottom/>
      <diagonal/>
    </border>
    <border>
      <left style="medium">
        <color rgb="FF5C6BC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165" fontId="9" fillId="19" borderId="1" xfId="0" applyNumberFormat="1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165" fontId="9" fillId="20" borderId="1" xfId="0" applyNumberFormat="1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164" fontId="17" fillId="20" borderId="1" xfId="0" applyNumberFormat="1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15" borderId="0" xfId="0" applyFont="1" applyFill="1" applyAlignment="1">
      <alignment horizontal="center" vertical="center" wrapText="1"/>
    </xf>
    <xf numFmtId="0" fontId="19" fillId="39" borderId="3" xfId="0" applyFont="1" applyFill="1" applyBorder="1" applyAlignment="1">
      <alignment horizontal="center" vertical="center"/>
    </xf>
    <xf numFmtId="0" fontId="20" fillId="39" borderId="4" xfId="0" applyFont="1" applyFill="1" applyBorder="1" applyAlignment="1">
      <alignment horizontal="center"/>
    </xf>
    <xf numFmtId="165" fontId="21" fillId="40" borderId="5" xfId="0" applyNumberFormat="1" applyFont="1" applyFill="1" applyBorder="1" applyAlignment="1">
      <alignment horizontal="center" vertical="center" wrapText="1"/>
    </xf>
    <xf numFmtId="0" fontId="22" fillId="40" borderId="0" xfId="0" applyFont="1" applyFill="1"/>
    <xf numFmtId="0" fontId="12" fillId="21" borderId="2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left" vertical="center"/>
    </xf>
    <xf numFmtId="164" fontId="8" fillId="38" borderId="2" xfId="0" applyNumberFormat="1" applyFont="1" applyFill="1" applyBorder="1" applyAlignment="1">
      <alignment horizontal="center" vertical="center" wrapText="1"/>
    </xf>
    <xf numFmtId="0" fontId="16" fillId="37" borderId="2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5" fillId="30" borderId="2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left" vertical="center"/>
    </xf>
    <xf numFmtId="0" fontId="14" fillId="28" borderId="2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/>
    </xf>
    <xf numFmtId="165" fontId="13" fillId="27" borderId="2" xfId="0" applyNumberFormat="1" applyFont="1" applyFill="1" applyBorder="1" applyAlignment="1">
      <alignment horizontal="center" vertical="center" wrapText="1"/>
    </xf>
    <xf numFmtId="0" fontId="11" fillId="29" borderId="0" xfId="0" applyFont="1" applyFill="1" applyAlignment="1">
      <alignment horizontal="center" vertical="center" wrapText="1"/>
    </xf>
    <xf numFmtId="0" fontId="2" fillId="31" borderId="1" xfId="0" applyFont="1" applyFill="1" applyBorder="1" applyAlignment="1">
      <alignment horizontal="left" vertical="center"/>
    </xf>
    <xf numFmtId="0" fontId="2" fillId="36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color rgb="FFB71C1C"/>
        <name val="Calibri"/>
      </font>
      <fill>
        <patternFill patternType="solid">
          <fgColor rgb="FFFFCDD2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b/>
        <color rgb="FFB71C1C"/>
        <name val="Calibri"/>
      </font>
      <fill>
        <patternFill patternType="solid">
          <fgColor rgb="FFFFCDD2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Weekly Progress Chart</a:t>
            </a:r>
          </a:p>
        </c:rich>
      </c:tx>
      <c:layout>
        <c:manualLayout>
          <c:xMode val="edge"/>
          <c:yMode val="edge"/>
          <c:x val="7.6600184180656179E-3"/>
          <c:y val="2.50626940006664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28759717671247"/>
          <c:y val="0.14417106547650366"/>
          <c:w val="0.69585700605470957"/>
          <c:h val="0.7274547112568612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Weekly_Summary!$A$3</c:f>
              <c:strCache>
                <c:ptCount val="1"/>
                <c:pt idx="0">
                  <c:v>Week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Weekly_Summary!$C$2</c:f>
              <c:strCache>
                <c:ptCount val="1"/>
                <c:pt idx="0">
                  <c:v>Total Score</c:v>
                </c:pt>
              </c:strCache>
            </c:strRef>
          </c:cat>
          <c:val>
            <c:numRef>
              <c:f>Weekly_Summary!$C$3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0-485D-8A9F-96B0BE85565B}"/>
            </c:ext>
          </c:extLst>
        </c:ser>
        <c:ser>
          <c:idx val="1"/>
          <c:order val="1"/>
          <c:tx>
            <c:strRef>
              <c:f>Weekly_Summary!$A$4</c:f>
              <c:strCache>
                <c:ptCount val="1"/>
                <c:pt idx="0">
                  <c:v>Week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Weekly_Summary!$C$2</c:f>
              <c:strCache>
                <c:ptCount val="1"/>
                <c:pt idx="0">
                  <c:v>Total Score</c:v>
                </c:pt>
              </c:strCache>
            </c:strRef>
          </c:cat>
          <c:val>
            <c:numRef>
              <c:f>Weekly_Summary!$C$4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0-485D-8A9F-96B0BE85565B}"/>
            </c:ext>
          </c:extLst>
        </c:ser>
        <c:ser>
          <c:idx val="2"/>
          <c:order val="2"/>
          <c:tx>
            <c:strRef>
              <c:f>Weekly_Summary!$A$5</c:f>
              <c:strCache>
                <c:ptCount val="1"/>
                <c:pt idx="0">
                  <c:v>Week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Weekly_Summary!$C$2</c:f>
              <c:strCache>
                <c:ptCount val="1"/>
                <c:pt idx="0">
                  <c:v>Total Score</c:v>
                </c:pt>
              </c:strCache>
            </c:strRef>
          </c:cat>
          <c:val>
            <c:numRef>
              <c:f>Weekly_Summary!$C$5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E0-485D-8A9F-96B0BE85565B}"/>
            </c:ext>
          </c:extLst>
        </c:ser>
        <c:ser>
          <c:idx val="3"/>
          <c:order val="3"/>
          <c:tx>
            <c:strRef>
              <c:f>Weekly_Summary!$A$6</c:f>
              <c:strCache>
                <c:ptCount val="1"/>
                <c:pt idx="0">
                  <c:v>Week 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Weekly_Summary!$C$2</c:f>
              <c:strCache>
                <c:ptCount val="1"/>
                <c:pt idx="0">
                  <c:v>Total Score</c:v>
                </c:pt>
              </c:strCache>
            </c:strRef>
          </c:cat>
          <c:val>
            <c:numRef>
              <c:f>Weekly_Summary!$C$6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E0-485D-8A9F-96B0BE855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Score</a:t>
                </a:r>
              </a:p>
            </c:rich>
          </c:tx>
          <c:layout>
            <c:manualLayout>
              <c:xMode val="edge"/>
              <c:yMode val="edge"/>
              <c:x val="3.4292939027636284E-2"/>
              <c:y val="0.34027585360293217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20895937929283"/>
          <c:y val="0.92993645838813577"/>
          <c:w val="0.48669840094947614"/>
          <c:h val="6.57130767532563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533400</xdr:colOff>
      <xdr:row>0</xdr:row>
      <xdr:rowOff>365760</xdr:rowOff>
    </xdr:from>
    <xdr:ext cx="4701540" cy="3261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14" customWidth="1"/>
    <col min="2" max="7" width="13" customWidth="1"/>
    <col min="8" max="8" width="14" customWidth="1"/>
    <col min="9" max="9" width="16" customWidth="1"/>
  </cols>
  <sheetData>
    <row r="1" spans="1:9" ht="45" customHeight="1" x14ac:dyDescent="0.25">
      <c r="A1" s="26" t="s">
        <v>43</v>
      </c>
      <c r="B1" s="27"/>
      <c r="C1" s="27"/>
      <c r="D1" s="27"/>
      <c r="E1" s="27"/>
      <c r="F1" s="27"/>
      <c r="G1" s="27"/>
      <c r="H1" s="27"/>
      <c r="I1" s="27"/>
    </row>
    <row r="2" spans="1:9" ht="19.899999999999999" customHeight="1" x14ac:dyDescent="0.2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  <c r="I2" s="9" t="s">
        <v>8</v>
      </c>
    </row>
    <row r="3" spans="1:9" ht="22.15" customHeight="1" x14ac:dyDescent="0.25">
      <c r="A3" s="10">
        <f>DATE(2026,4,1)</f>
        <v>46113</v>
      </c>
      <c r="B3" s="11" t="s">
        <v>41</v>
      </c>
      <c r="C3" s="11" t="s">
        <v>41</v>
      </c>
      <c r="D3" s="11" t="s">
        <v>41</v>
      </c>
      <c r="E3" s="11" t="s">
        <v>41</v>
      </c>
      <c r="F3" s="11" t="s">
        <v>41</v>
      </c>
      <c r="G3" s="11" t="s">
        <v>41</v>
      </c>
      <c r="H3" s="12">
        <f t="shared" ref="H3:H32" si="0">COUNTIF(B3:G3,"Yes")</f>
        <v>6</v>
      </c>
      <c r="I3" s="13" t="str">
        <f t="shared" ref="I3:I32" si="1">IF(H3&gt;=5,"✅ Perfect","⚠ Improve")</f>
        <v>✅ Perfect</v>
      </c>
    </row>
    <row r="4" spans="1:9" ht="22.15" customHeight="1" x14ac:dyDescent="0.25">
      <c r="A4" s="10">
        <f>A3+1</f>
        <v>46114</v>
      </c>
      <c r="B4" s="11" t="s">
        <v>41</v>
      </c>
      <c r="C4" s="11" t="s">
        <v>41</v>
      </c>
      <c r="D4" s="11" t="s">
        <v>41</v>
      </c>
      <c r="E4" s="11" t="s">
        <v>41</v>
      </c>
      <c r="F4" s="11" t="s">
        <v>41</v>
      </c>
      <c r="G4" s="11" t="s">
        <v>41</v>
      </c>
      <c r="H4" s="12">
        <f t="shared" si="0"/>
        <v>6</v>
      </c>
      <c r="I4" s="13" t="str">
        <f t="shared" si="1"/>
        <v>✅ Perfect</v>
      </c>
    </row>
    <row r="5" spans="1:9" ht="22.15" customHeight="1" x14ac:dyDescent="0.25">
      <c r="A5" s="10">
        <f t="shared" ref="A5:A32" si="2">A4+1</f>
        <v>46115</v>
      </c>
      <c r="B5" s="11" t="s">
        <v>41</v>
      </c>
      <c r="C5" s="11" t="s">
        <v>41</v>
      </c>
      <c r="D5" s="11" t="s">
        <v>41</v>
      </c>
      <c r="E5" s="11" t="s">
        <v>41</v>
      </c>
      <c r="F5" s="11" t="s">
        <v>41</v>
      </c>
      <c r="G5" s="11" t="s">
        <v>41</v>
      </c>
      <c r="H5" s="12">
        <f t="shared" si="0"/>
        <v>6</v>
      </c>
      <c r="I5" s="13" t="str">
        <f t="shared" si="1"/>
        <v>✅ Perfect</v>
      </c>
    </row>
    <row r="6" spans="1:9" ht="22.15" customHeight="1" x14ac:dyDescent="0.25">
      <c r="A6" s="10">
        <f t="shared" si="2"/>
        <v>46116</v>
      </c>
      <c r="B6" s="11" t="s">
        <v>41</v>
      </c>
      <c r="C6" s="11" t="s">
        <v>41</v>
      </c>
      <c r="D6" s="11" t="s">
        <v>41</v>
      </c>
      <c r="E6" s="11" t="s">
        <v>41</v>
      </c>
      <c r="F6" s="11" t="s">
        <v>41</v>
      </c>
      <c r="G6" s="11" t="s">
        <v>41</v>
      </c>
      <c r="H6" s="12">
        <f t="shared" si="0"/>
        <v>6</v>
      </c>
      <c r="I6" s="13" t="str">
        <f t="shared" si="1"/>
        <v>✅ Perfect</v>
      </c>
    </row>
    <row r="7" spans="1:9" ht="22.15" customHeight="1" x14ac:dyDescent="0.25">
      <c r="A7" s="10">
        <f t="shared" si="2"/>
        <v>46117</v>
      </c>
      <c r="B7" s="11" t="s">
        <v>41</v>
      </c>
      <c r="C7" s="11" t="s">
        <v>42</v>
      </c>
      <c r="D7" s="11" t="s">
        <v>42</v>
      </c>
      <c r="E7" s="11" t="s">
        <v>41</v>
      </c>
      <c r="F7" s="11" t="s">
        <v>42</v>
      </c>
      <c r="G7" s="11" t="s">
        <v>42</v>
      </c>
      <c r="H7" s="12">
        <f t="shared" si="0"/>
        <v>2</v>
      </c>
      <c r="I7" s="13" t="str">
        <f t="shared" si="1"/>
        <v>⚠ Improve</v>
      </c>
    </row>
    <row r="8" spans="1:9" ht="22.15" customHeight="1" x14ac:dyDescent="0.25">
      <c r="A8" s="10">
        <f t="shared" si="2"/>
        <v>46118</v>
      </c>
      <c r="B8" s="11" t="s">
        <v>41</v>
      </c>
      <c r="C8" s="11" t="s">
        <v>41</v>
      </c>
      <c r="D8" s="11" t="s">
        <v>41</v>
      </c>
      <c r="E8" s="11" t="s">
        <v>41</v>
      </c>
      <c r="F8" s="11" t="s">
        <v>41</v>
      </c>
      <c r="G8" s="11" t="s">
        <v>42</v>
      </c>
      <c r="H8" s="12">
        <f t="shared" si="0"/>
        <v>5</v>
      </c>
      <c r="I8" s="13" t="str">
        <f t="shared" si="1"/>
        <v>✅ Perfect</v>
      </c>
    </row>
    <row r="9" spans="1:9" ht="22.15" customHeight="1" x14ac:dyDescent="0.25">
      <c r="A9" s="10">
        <f t="shared" si="2"/>
        <v>46119</v>
      </c>
      <c r="B9" s="11" t="s">
        <v>42</v>
      </c>
      <c r="C9" s="11" t="s">
        <v>42</v>
      </c>
      <c r="D9" s="11" t="s">
        <v>41</v>
      </c>
      <c r="E9" s="11" t="s">
        <v>41</v>
      </c>
      <c r="F9" s="11" t="s">
        <v>41</v>
      </c>
      <c r="G9" s="11" t="s">
        <v>42</v>
      </c>
      <c r="H9" s="12">
        <f t="shared" si="0"/>
        <v>3</v>
      </c>
      <c r="I9" s="13" t="str">
        <f t="shared" si="1"/>
        <v>⚠ Improve</v>
      </c>
    </row>
    <row r="10" spans="1:9" ht="22.15" customHeight="1" x14ac:dyDescent="0.25">
      <c r="A10" s="10">
        <f t="shared" si="2"/>
        <v>46120</v>
      </c>
      <c r="B10" s="11" t="s">
        <v>41</v>
      </c>
      <c r="C10" s="11" t="s">
        <v>41</v>
      </c>
      <c r="D10" s="11" t="s">
        <v>41</v>
      </c>
      <c r="E10" s="11" t="s">
        <v>41</v>
      </c>
      <c r="F10" s="11" t="s">
        <v>41</v>
      </c>
      <c r="G10" s="11" t="s">
        <v>41</v>
      </c>
      <c r="H10" s="12">
        <f t="shared" si="0"/>
        <v>6</v>
      </c>
      <c r="I10" s="13" t="str">
        <f t="shared" si="1"/>
        <v>✅ Perfect</v>
      </c>
    </row>
    <row r="11" spans="1:9" ht="22.15" customHeight="1" x14ac:dyDescent="0.25">
      <c r="A11" s="10">
        <f t="shared" si="2"/>
        <v>46121</v>
      </c>
      <c r="B11" s="11" t="s">
        <v>41</v>
      </c>
      <c r="C11" s="11" t="s">
        <v>41</v>
      </c>
      <c r="D11" s="11" t="s">
        <v>41</v>
      </c>
      <c r="E11" s="11" t="s">
        <v>41</v>
      </c>
      <c r="F11" s="11" t="s">
        <v>41</v>
      </c>
      <c r="G11" s="11" t="s">
        <v>41</v>
      </c>
      <c r="H11" s="12">
        <f t="shared" si="0"/>
        <v>6</v>
      </c>
      <c r="I11" s="13" t="str">
        <f t="shared" si="1"/>
        <v>✅ Perfect</v>
      </c>
    </row>
    <row r="12" spans="1:9" ht="22.15" customHeight="1" x14ac:dyDescent="0.25">
      <c r="A12" s="10">
        <f t="shared" si="2"/>
        <v>46122</v>
      </c>
      <c r="B12" s="11" t="s">
        <v>41</v>
      </c>
      <c r="C12" s="11" t="s">
        <v>41</v>
      </c>
      <c r="D12" s="11" t="s">
        <v>41</v>
      </c>
      <c r="E12" s="11" t="s">
        <v>41</v>
      </c>
      <c r="F12" s="11" t="s">
        <v>41</v>
      </c>
      <c r="G12" s="11" t="s">
        <v>41</v>
      </c>
      <c r="H12" s="12">
        <f t="shared" si="0"/>
        <v>6</v>
      </c>
      <c r="I12" s="13" t="str">
        <f t="shared" si="1"/>
        <v>✅ Perfect</v>
      </c>
    </row>
    <row r="13" spans="1:9" ht="22.15" customHeight="1" x14ac:dyDescent="0.25">
      <c r="A13" s="10">
        <f t="shared" si="2"/>
        <v>46123</v>
      </c>
      <c r="B13" s="11" t="s">
        <v>41</v>
      </c>
      <c r="C13" s="11" t="s">
        <v>41</v>
      </c>
      <c r="D13" s="11" t="s">
        <v>41</v>
      </c>
      <c r="E13" s="11" t="s">
        <v>41</v>
      </c>
      <c r="F13" s="11" t="s">
        <v>41</v>
      </c>
      <c r="G13" s="11" t="s">
        <v>41</v>
      </c>
      <c r="H13" s="12">
        <f t="shared" si="0"/>
        <v>6</v>
      </c>
      <c r="I13" s="13" t="str">
        <f t="shared" si="1"/>
        <v>✅ Perfect</v>
      </c>
    </row>
    <row r="14" spans="1:9" ht="22.15" customHeight="1" x14ac:dyDescent="0.25">
      <c r="A14" s="10">
        <f t="shared" si="2"/>
        <v>46124</v>
      </c>
      <c r="B14" s="11" t="s">
        <v>41</v>
      </c>
      <c r="C14" s="11" t="s">
        <v>41</v>
      </c>
      <c r="D14" s="11" t="s">
        <v>41</v>
      </c>
      <c r="E14" s="11" t="s">
        <v>41</v>
      </c>
      <c r="F14" s="11" t="s">
        <v>41</v>
      </c>
      <c r="G14" s="11" t="s">
        <v>41</v>
      </c>
      <c r="H14" s="12">
        <f t="shared" si="0"/>
        <v>6</v>
      </c>
      <c r="I14" s="13" t="str">
        <f t="shared" si="1"/>
        <v>✅ Perfect</v>
      </c>
    </row>
    <row r="15" spans="1:9" ht="22.15" customHeight="1" x14ac:dyDescent="0.25">
      <c r="A15" s="10">
        <f t="shared" si="2"/>
        <v>46125</v>
      </c>
      <c r="B15" s="11" t="s">
        <v>41</v>
      </c>
      <c r="C15" s="11" t="s">
        <v>41</v>
      </c>
      <c r="D15" s="11" t="s">
        <v>41</v>
      </c>
      <c r="E15" s="11" t="s">
        <v>41</v>
      </c>
      <c r="F15" s="11" t="s">
        <v>41</v>
      </c>
      <c r="G15" s="11" t="s">
        <v>41</v>
      </c>
      <c r="H15" s="12">
        <f t="shared" si="0"/>
        <v>6</v>
      </c>
      <c r="I15" s="13" t="str">
        <f t="shared" si="1"/>
        <v>✅ Perfect</v>
      </c>
    </row>
    <row r="16" spans="1:9" ht="22.15" customHeight="1" x14ac:dyDescent="0.25">
      <c r="A16" s="10">
        <f t="shared" si="2"/>
        <v>46126</v>
      </c>
      <c r="B16" s="11" t="s">
        <v>42</v>
      </c>
      <c r="C16" s="11" t="s">
        <v>42</v>
      </c>
      <c r="D16" s="11" t="s">
        <v>41</v>
      </c>
      <c r="E16" s="11" t="s">
        <v>41</v>
      </c>
      <c r="F16" s="11" t="s">
        <v>41</v>
      </c>
      <c r="G16" s="11" t="s">
        <v>41</v>
      </c>
      <c r="H16" s="12">
        <f t="shared" si="0"/>
        <v>4</v>
      </c>
      <c r="I16" s="13" t="str">
        <f t="shared" si="1"/>
        <v>⚠ Improve</v>
      </c>
    </row>
    <row r="17" spans="1:9" ht="22.15" customHeight="1" x14ac:dyDescent="0.25">
      <c r="A17" s="10">
        <f t="shared" si="2"/>
        <v>46127</v>
      </c>
      <c r="B17" s="11" t="s">
        <v>41</v>
      </c>
      <c r="C17" s="11" t="s">
        <v>41</v>
      </c>
      <c r="D17" s="11" t="s">
        <v>41</v>
      </c>
      <c r="E17" s="11" t="s">
        <v>41</v>
      </c>
      <c r="F17" s="11" t="s">
        <v>42</v>
      </c>
      <c r="G17" s="11" t="s">
        <v>42</v>
      </c>
      <c r="H17" s="12">
        <f t="shared" si="0"/>
        <v>4</v>
      </c>
      <c r="I17" s="13" t="str">
        <f t="shared" si="1"/>
        <v>⚠ Improve</v>
      </c>
    </row>
    <row r="18" spans="1:9" ht="22.15" customHeight="1" x14ac:dyDescent="0.25">
      <c r="A18" s="10">
        <f t="shared" si="2"/>
        <v>46128</v>
      </c>
      <c r="B18" s="11" t="s">
        <v>41</v>
      </c>
      <c r="C18" s="11" t="s">
        <v>41</v>
      </c>
      <c r="D18" s="11" t="s">
        <v>41</v>
      </c>
      <c r="E18" s="11" t="s">
        <v>41</v>
      </c>
      <c r="F18" s="11" t="s">
        <v>41</v>
      </c>
      <c r="G18" s="11" t="s">
        <v>41</v>
      </c>
      <c r="H18" s="12">
        <f t="shared" si="0"/>
        <v>6</v>
      </c>
      <c r="I18" s="13" t="str">
        <f t="shared" si="1"/>
        <v>✅ Perfect</v>
      </c>
    </row>
    <row r="19" spans="1:9" ht="22.15" customHeight="1" x14ac:dyDescent="0.25">
      <c r="A19" s="10">
        <f t="shared" si="2"/>
        <v>46129</v>
      </c>
      <c r="B19" s="11" t="s">
        <v>41</v>
      </c>
      <c r="C19" s="11" t="s">
        <v>41</v>
      </c>
      <c r="D19" s="11" t="s">
        <v>41</v>
      </c>
      <c r="E19" s="11" t="s">
        <v>41</v>
      </c>
      <c r="F19" s="11" t="s">
        <v>41</v>
      </c>
      <c r="G19" s="11" t="s">
        <v>41</v>
      </c>
      <c r="H19" s="12">
        <f t="shared" si="0"/>
        <v>6</v>
      </c>
      <c r="I19" s="13" t="str">
        <f t="shared" si="1"/>
        <v>✅ Perfect</v>
      </c>
    </row>
    <row r="20" spans="1:9" ht="22.15" customHeight="1" x14ac:dyDescent="0.25">
      <c r="A20" s="10">
        <f t="shared" si="2"/>
        <v>46130</v>
      </c>
      <c r="B20" s="11" t="s">
        <v>41</v>
      </c>
      <c r="C20" s="11" t="s">
        <v>41</v>
      </c>
      <c r="D20" s="11" t="s">
        <v>41</v>
      </c>
      <c r="E20" s="11" t="s">
        <v>41</v>
      </c>
      <c r="F20" s="11" t="s">
        <v>41</v>
      </c>
      <c r="G20" s="11" t="s">
        <v>41</v>
      </c>
      <c r="H20" s="12">
        <f t="shared" si="0"/>
        <v>6</v>
      </c>
      <c r="I20" s="13" t="str">
        <f t="shared" si="1"/>
        <v>✅ Perfect</v>
      </c>
    </row>
    <row r="21" spans="1:9" ht="22.15" customHeight="1" x14ac:dyDescent="0.25">
      <c r="A21" s="10">
        <f t="shared" si="2"/>
        <v>46131</v>
      </c>
      <c r="B21" s="11" t="s">
        <v>41</v>
      </c>
      <c r="C21" s="11" t="s">
        <v>41</v>
      </c>
      <c r="D21" s="11" t="s">
        <v>41</v>
      </c>
      <c r="E21" s="11" t="s">
        <v>41</v>
      </c>
      <c r="F21" s="11" t="s">
        <v>41</v>
      </c>
      <c r="G21" s="11" t="s">
        <v>41</v>
      </c>
      <c r="H21" s="12">
        <f t="shared" si="0"/>
        <v>6</v>
      </c>
      <c r="I21" s="13" t="str">
        <f t="shared" si="1"/>
        <v>✅ Perfect</v>
      </c>
    </row>
    <row r="22" spans="1:9" ht="22.15" customHeight="1" x14ac:dyDescent="0.25">
      <c r="A22" s="10">
        <f t="shared" si="2"/>
        <v>46132</v>
      </c>
      <c r="B22" s="11" t="s">
        <v>41</v>
      </c>
      <c r="C22" s="11" t="s">
        <v>41</v>
      </c>
      <c r="D22" s="11" t="s">
        <v>41</v>
      </c>
      <c r="E22" s="11" t="s">
        <v>41</v>
      </c>
      <c r="F22" s="11" t="s">
        <v>41</v>
      </c>
      <c r="G22" s="11" t="s">
        <v>41</v>
      </c>
      <c r="H22" s="12">
        <f t="shared" si="0"/>
        <v>6</v>
      </c>
      <c r="I22" s="13" t="str">
        <f t="shared" si="1"/>
        <v>✅ Perfect</v>
      </c>
    </row>
    <row r="23" spans="1:9" ht="22.15" customHeight="1" x14ac:dyDescent="0.25">
      <c r="A23" s="10">
        <f t="shared" si="2"/>
        <v>46133</v>
      </c>
      <c r="B23" s="11" t="s">
        <v>42</v>
      </c>
      <c r="C23" s="11" t="s">
        <v>42</v>
      </c>
      <c r="D23" s="11" t="s">
        <v>41</v>
      </c>
      <c r="E23" s="11" t="s">
        <v>41</v>
      </c>
      <c r="F23" s="11" t="s">
        <v>41</v>
      </c>
      <c r="G23" s="11" t="s">
        <v>41</v>
      </c>
      <c r="H23" s="12">
        <f t="shared" si="0"/>
        <v>4</v>
      </c>
      <c r="I23" s="13" t="str">
        <f t="shared" si="1"/>
        <v>⚠ Improve</v>
      </c>
    </row>
    <row r="24" spans="1:9" ht="22.15" customHeight="1" x14ac:dyDescent="0.25">
      <c r="A24" s="10">
        <f t="shared" si="2"/>
        <v>46134</v>
      </c>
      <c r="B24" s="11" t="s">
        <v>41</v>
      </c>
      <c r="C24" s="11" t="s">
        <v>41</v>
      </c>
      <c r="D24" s="11" t="s">
        <v>41</v>
      </c>
      <c r="E24" s="11" t="s">
        <v>41</v>
      </c>
      <c r="F24" s="11" t="s">
        <v>41</v>
      </c>
      <c r="G24" s="11" t="s">
        <v>42</v>
      </c>
      <c r="H24" s="12">
        <f t="shared" si="0"/>
        <v>5</v>
      </c>
      <c r="I24" s="13" t="str">
        <f t="shared" si="1"/>
        <v>✅ Perfect</v>
      </c>
    </row>
    <row r="25" spans="1:9" ht="22.15" customHeight="1" x14ac:dyDescent="0.25">
      <c r="A25" s="10">
        <f t="shared" si="2"/>
        <v>46135</v>
      </c>
      <c r="B25" s="11" t="s">
        <v>41</v>
      </c>
      <c r="C25" s="11" t="s">
        <v>41</v>
      </c>
      <c r="D25" s="11" t="s">
        <v>41</v>
      </c>
      <c r="E25" s="11" t="s">
        <v>41</v>
      </c>
      <c r="F25" s="11" t="s">
        <v>41</v>
      </c>
      <c r="G25" s="11" t="s">
        <v>41</v>
      </c>
      <c r="H25" s="12">
        <f t="shared" si="0"/>
        <v>6</v>
      </c>
      <c r="I25" s="13" t="str">
        <f t="shared" si="1"/>
        <v>✅ Perfect</v>
      </c>
    </row>
    <row r="26" spans="1:9" ht="22.15" customHeight="1" x14ac:dyDescent="0.25">
      <c r="A26" s="10">
        <f t="shared" si="2"/>
        <v>46136</v>
      </c>
      <c r="B26" s="11" t="s">
        <v>41</v>
      </c>
      <c r="C26" s="11" t="s">
        <v>41</v>
      </c>
      <c r="D26" s="11" t="s">
        <v>41</v>
      </c>
      <c r="E26" s="11" t="s">
        <v>41</v>
      </c>
      <c r="F26" s="11" t="s">
        <v>41</v>
      </c>
      <c r="G26" s="11" t="s">
        <v>41</v>
      </c>
      <c r="H26" s="12">
        <f t="shared" si="0"/>
        <v>6</v>
      </c>
      <c r="I26" s="13" t="str">
        <f t="shared" si="1"/>
        <v>✅ Perfect</v>
      </c>
    </row>
    <row r="27" spans="1:9" ht="22.15" customHeight="1" x14ac:dyDescent="0.25">
      <c r="A27" s="10">
        <f t="shared" si="2"/>
        <v>46137</v>
      </c>
      <c r="B27" s="11" t="s">
        <v>41</v>
      </c>
      <c r="C27" s="11" t="s">
        <v>41</v>
      </c>
      <c r="D27" s="11" t="s">
        <v>41</v>
      </c>
      <c r="E27" s="11" t="s">
        <v>41</v>
      </c>
      <c r="F27" s="11" t="s">
        <v>42</v>
      </c>
      <c r="G27" s="11" t="s">
        <v>41</v>
      </c>
      <c r="H27" s="12">
        <f t="shared" si="0"/>
        <v>5</v>
      </c>
      <c r="I27" s="13" t="str">
        <f t="shared" si="1"/>
        <v>✅ Perfect</v>
      </c>
    </row>
    <row r="28" spans="1:9" ht="22.15" customHeight="1" x14ac:dyDescent="0.25">
      <c r="A28" s="10">
        <f t="shared" si="2"/>
        <v>46138</v>
      </c>
      <c r="B28" s="11" t="s">
        <v>41</v>
      </c>
      <c r="C28" s="11" t="s">
        <v>41</v>
      </c>
      <c r="D28" s="11" t="s">
        <v>41</v>
      </c>
      <c r="E28" s="11" t="s">
        <v>41</v>
      </c>
      <c r="F28" s="11" t="s">
        <v>41</v>
      </c>
      <c r="G28" s="11" t="s">
        <v>42</v>
      </c>
      <c r="H28" s="12">
        <f t="shared" si="0"/>
        <v>5</v>
      </c>
      <c r="I28" s="13" t="str">
        <f t="shared" si="1"/>
        <v>✅ Perfect</v>
      </c>
    </row>
    <row r="29" spans="1:9" ht="22.15" customHeight="1" x14ac:dyDescent="0.25">
      <c r="A29" s="10">
        <f t="shared" si="2"/>
        <v>46139</v>
      </c>
      <c r="B29" s="11" t="s">
        <v>41</v>
      </c>
      <c r="C29" s="11" t="s">
        <v>41</v>
      </c>
      <c r="D29" s="11" t="s">
        <v>41</v>
      </c>
      <c r="E29" s="11" t="s">
        <v>41</v>
      </c>
      <c r="F29" s="11" t="s">
        <v>41</v>
      </c>
      <c r="G29" s="11" t="s">
        <v>42</v>
      </c>
      <c r="H29" s="12">
        <f t="shared" si="0"/>
        <v>5</v>
      </c>
      <c r="I29" s="13" t="str">
        <f t="shared" si="1"/>
        <v>✅ Perfect</v>
      </c>
    </row>
    <row r="30" spans="1:9" ht="22.15" customHeight="1" x14ac:dyDescent="0.25">
      <c r="A30" s="10">
        <f t="shared" si="2"/>
        <v>46140</v>
      </c>
      <c r="B30" s="11" t="s">
        <v>42</v>
      </c>
      <c r="C30" s="11" t="s">
        <v>42</v>
      </c>
      <c r="D30" s="11" t="s">
        <v>41</v>
      </c>
      <c r="E30" s="11" t="s">
        <v>41</v>
      </c>
      <c r="F30" s="11" t="s">
        <v>41</v>
      </c>
      <c r="G30" s="11" t="s">
        <v>41</v>
      </c>
      <c r="H30" s="12">
        <f t="shared" si="0"/>
        <v>4</v>
      </c>
      <c r="I30" s="13" t="str">
        <f t="shared" si="1"/>
        <v>⚠ Improve</v>
      </c>
    </row>
    <row r="31" spans="1:9" ht="22.15" customHeight="1" x14ac:dyDescent="0.25">
      <c r="A31" s="10">
        <f t="shared" si="2"/>
        <v>46141</v>
      </c>
      <c r="B31" s="11" t="s">
        <v>41</v>
      </c>
      <c r="C31" s="11" t="s">
        <v>41</v>
      </c>
      <c r="D31" s="11" t="s">
        <v>41</v>
      </c>
      <c r="E31" s="11" t="s">
        <v>41</v>
      </c>
      <c r="F31" s="11" t="s">
        <v>41</v>
      </c>
      <c r="G31" s="11" t="s">
        <v>41</v>
      </c>
      <c r="H31" s="12">
        <f t="shared" si="0"/>
        <v>6</v>
      </c>
      <c r="I31" s="13" t="str">
        <f t="shared" si="1"/>
        <v>✅ Perfect</v>
      </c>
    </row>
    <row r="32" spans="1:9" ht="22.15" customHeight="1" x14ac:dyDescent="0.25">
      <c r="A32" s="10">
        <f t="shared" si="2"/>
        <v>46142</v>
      </c>
      <c r="B32" s="11" t="s">
        <v>41</v>
      </c>
      <c r="C32" s="11" t="s">
        <v>41</v>
      </c>
      <c r="D32" s="11" t="s">
        <v>41</v>
      </c>
      <c r="E32" s="11" t="s">
        <v>41</v>
      </c>
      <c r="F32" s="11" t="s">
        <v>41</v>
      </c>
      <c r="G32" s="11" t="s">
        <v>41</v>
      </c>
      <c r="H32" s="12">
        <f t="shared" si="0"/>
        <v>6</v>
      </c>
      <c r="I32" s="13" t="str">
        <f t="shared" si="1"/>
        <v>✅ Perfect</v>
      </c>
    </row>
  </sheetData>
  <mergeCells count="1">
    <mergeCell ref="A1:I1"/>
  </mergeCells>
  <conditionalFormatting sqref="B3:G32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I3:I32">
    <cfRule type="expression" dxfId="1" priority="3">
      <formula>ISNUMBER(SEARCH("Perfect",I3))</formula>
    </cfRule>
    <cfRule type="expression" dxfId="0" priority="4">
      <formula>ISNUMBER(SEARCH("Improve",I3))</formula>
    </cfRule>
  </conditionalFormatting>
  <dataValidations count="1">
    <dataValidation type="list" allowBlank="1" sqref="B3:G32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6" sqref="C6"/>
    </sheetView>
  </sheetViews>
  <sheetFormatPr defaultRowHeight="15" x14ac:dyDescent="0.25"/>
  <cols>
    <col min="1" max="1" width="18" customWidth="1"/>
    <col min="2" max="4" width="22" customWidth="1"/>
  </cols>
  <sheetData>
    <row r="1" spans="1:4" ht="45" customHeight="1" x14ac:dyDescent="0.25">
      <c r="A1" s="28" t="s">
        <v>44</v>
      </c>
      <c r="B1" s="27"/>
      <c r="C1" s="27"/>
      <c r="D1" s="27"/>
    </row>
    <row r="2" spans="1:4" ht="22.15" customHeight="1" x14ac:dyDescent="0.25">
      <c r="A2" s="4" t="s">
        <v>9</v>
      </c>
      <c r="B2" s="14" t="s">
        <v>10</v>
      </c>
      <c r="C2" s="15" t="s">
        <v>7</v>
      </c>
      <c r="D2" s="16" t="s">
        <v>11</v>
      </c>
    </row>
    <row r="3" spans="1:4" ht="24" customHeight="1" x14ac:dyDescent="0.25">
      <c r="A3" s="17" t="s">
        <v>12</v>
      </c>
      <c r="B3" s="17" t="s">
        <v>13</v>
      </c>
      <c r="C3" s="18">
        <f>SUM(Daily_Tracker!H3:H9)</f>
        <v>34</v>
      </c>
      <c r="D3" s="19">
        <f>C3/(7*6)*100</f>
        <v>80.952380952380949</v>
      </c>
    </row>
    <row r="4" spans="1:4" ht="24" customHeight="1" x14ac:dyDescent="0.25">
      <c r="A4" s="20" t="s">
        <v>14</v>
      </c>
      <c r="B4" s="20" t="s">
        <v>15</v>
      </c>
      <c r="C4" s="21">
        <f>SUM(Daily_Tracker!H10:H16)</f>
        <v>40</v>
      </c>
      <c r="D4" s="22">
        <f>C4/(7*6)*100</f>
        <v>95.238095238095227</v>
      </c>
    </row>
    <row r="5" spans="1:4" ht="24" customHeight="1" x14ac:dyDescent="0.25">
      <c r="A5" s="17" t="s">
        <v>16</v>
      </c>
      <c r="B5" s="17" t="s">
        <v>17</v>
      </c>
      <c r="C5" s="18">
        <f>SUM(Daily_Tracker!H17:H23)</f>
        <v>38</v>
      </c>
      <c r="D5" s="19">
        <f>C5/(7*6)*100</f>
        <v>90.476190476190482</v>
      </c>
    </row>
    <row r="6" spans="1:4" ht="24" customHeight="1" x14ac:dyDescent="0.25">
      <c r="A6" s="20" t="s">
        <v>18</v>
      </c>
      <c r="B6" s="20" t="s">
        <v>19</v>
      </c>
      <c r="C6" s="21">
        <f>SUM(Daily_Tracker!H24:H30)</f>
        <v>36</v>
      </c>
      <c r="D6" s="22">
        <f>C6/(7*6)*100</f>
        <v>85.714285714285708</v>
      </c>
    </row>
  </sheetData>
  <mergeCells count="1">
    <mergeCell ref="A1:D1"/>
  </mergeCells>
  <conditionalFormatting sqref="C3:C6">
    <cfRule type="colorScale" priority="1">
      <colorScale>
        <cfvo type="min"/>
        <cfvo type="percentile" val="50"/>
        <cfvo type="max"/>
        <color rgb="FFFFCDD2"/>
        <color rgb="FFFFF9C4"/>
        <color rgb="FFC8E6C9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8"/>
  <sheetViews>
    <sheetView tabSelected="1" workbookViewId="0">
      <pane xSplit="1" ySplit="3" topLeftCell="B16" activePane="bottomRight" state="frozen"/>
      <selection pane="topRight"/>
      <selection pane="bottomLeft"/>
      <selection pane="bottomRight" activeCell="B25" sqref="B25:C25"/>
    </sheetView>
  </sheetViews>
  <sheetFormatPr defaultRowHeight="15" x14ac:dyDescent="0.25"/>
  <cols>
    <col min="1" max="1" width="3" customWidth="1"/>
    <col min="2" max="2" width="22" customWidth="1"/>
    <col min="3" max="3" width="10.5703125" customWidth="1"/>
    <col min="4" max="5" width="22" customWidth="1"/>
    <col min="6" max="6" width="23.7109375" customWidth="1"/>
    <col min="9" max="9" width="32.7109375" customWidth="1"/>
  </cols>
  <sheetData>
    <row r="1" spans="2:11" ht="7.9" customHeight="1" x14ac:dyDescent="0.25"/>
    <row r="2" spans="2:11" ht="52.15" customHeight="1" x14ac:dyDescent="0.25">
      <c r="B2" s="42" t="s">
        <v>45</v>
      </c>
      <c r="C2" s="27"/>
      <c r="D2" s="27"/>
      <c r="E2" s="27"/>
    </row>
    <row r="3" spans="2:11" ht="30" customHeight="1" thickBot="1" x14ac:dyDescent="0.3">
      <c r="B3" s="51" t="s">
        <v>46</v>
      </c>
      <c r="C3" s="27"/>
      <c r="D3" s="27"/>
      <c r="E3" s="27"/>
    </row>
    <row r="4" spans="2:11" ht="22.15" customHeight="1" thickBot="1" x14ac:dyDescent="0.3">
      <c r="B4" s="35" t="s">
        <v>20</v>
      </c>
      <c r="C4" s="27"/>
      <c r="D4" s="33">
        <f>SUM(Daily_Tracker!H3:H32)</f>
        <v>160</v>
      </c>
      <c r="E4" s="27"/>
      <c r="H4" s="54" t="s">
        <v>48</v>
      </c>
      <c r="I4" s="27"/>
      <c r="J4" s="27"/>
      <c r="K4" s="27"/>
    </row>
    <row r="5" spans="2:11" ht="22.15" customHeight="1" thickBot="1" x14ac:dyDescent="0.3">
      <c r="B5" s="34" t="s">
        <v>21</v>
      </c>
      <c r="C5" s="27"/>
      <c r="D5" s="33">
        <f>IFERROR(AVERAGE(Daily_Tracker!H3:H32),0)</f>
        <v>5.333333333333333</v>
      </c>
      <c r="E5" s="27"/>
      <c r="H5" s="45" t="s">
        <v>26</v>
      </c>
      <c r="I5" s="27"/>
      <c r="J5" s="43">
        <f>COUNTIF(Daily_Tracker!B3:B32,"No")</f>
        <v>4</v>
      </c>
      <c r="K5" s="27"/>
    </row>
    <row r="6" spans="2:11" ht="22.15" customHeight="1" thickBot="1" x14ac:dyDescent="0.3">
      <c r="B6" s="57" t="s">
        <v>22</v>
      </c>
      <c r="C6" s="27"/>
      <c r="D6" s="33">
        <f>IFERROR(MAX(Daily_Tracker!H3:H32),0)</f>
        <v>6</v>
      </c>
      <c r="E6" s="27"/>
      <c r="H6" s="55" t="s">
        <v>27</v>
      </c>
      <c r="I6" s="27"/>
      <c r="J6" s="43">
        <f>COUNTIF(Daily_Tracker!C3:C32,"No")</f>
        <v>5</v>
      </c>
      <c r="K6" s="27"/>
    </row>
    <row r="7" spans="2:11" ht="22.15" customHeight="1" thickBot="1" x14ac:dyDescent="0.3">
      <c r="B7" s="46" t="s">
        <v>23</v>
      </c>
      <c r="C7" s="27"/>
      <c r="D7" s="33">
        <f>COUNTIF(Daily_Tracker!H3:H32,"&gt;0")</f>
        <v>30</v>
      </c>
      <c r="E7" s="27"/>
      <c r="H7" s="49" t="s">
        <v>28</v>
      </c>
      <c r="I7" s="27"/>
      <c r="J7" s="43">
        <f>COUNTIF(Daily_Tracker!D3:D32,"No")</f>
        <v>1</v>
      </c>
      <c r="K7" s="27"/>
    </row>
    <row r="8" spans="2:11" ht="22.15" customHeight="1" thickBot="1" x14ac:dyDescent="0.3">
      <c r="B8" s="44" t="s">
        <v>24</v>
      </c>
      <c r="C8" s="27"/>
      <c r="D8" s="33">
        <f>COUNTIF(Daily_Tracker!H3:H32,"&gt;=5")</f>
        <v>24</v>
      </c>
      <c r="E8" s="27"/>
      <c r="H8" s="36" t="s">
        <v>29</v>
      </c>
      <c r="I8" s="27"/>
      <c r="J8" s="43">
        <f>COUNTIF(Daily_Tracker!E3:E32,"No")</f>
        <v>0</v>
      </c>
      <c r="K8" s="27"/>
    </row>
    <row r="9" spans="2:11" ht="30" customHeight="1" thickBot="1" x14ac:dyDescent="0.3">
      <c r="B9" s="40" t="s">
        <v>47</v>
      </c>
      <c r="C9" s="27"/>
      <c r="D9" s="27"/>
      <c r="E9" s="27"/>
      <c r="H9" s="50" t="s">
        <v>30</v>
      </c>
      <c r="I9" s="27"/>
      <c r="J9" s="43">
        <f>COUNTIF(Daily_Tracker!F3:F32,"No")</f>
        <v>3</v>
      </c>
      <c r="K9" s="27"/>
    </row>
    <row r="10" spans="2:11" ht="22.15" customHeight="1" thickBot="1" x14ac:dyDescent="0.3">
      <c r="B10" s="52" t="s">
        <v>25</v>
      </c>
      <c r="C10" s="27"/>
      <c r="D10" s="53">
        <f>IFERROR((SUM(Daily_Tracker!H3:H32)/(30*6))*100,0)</f>
        <v>88.888888888888886</v>
      </c>
      <c r="E10" s="27"/>
      <c r="H10" s="58" t="s">
        <v>31</v>
      </c>
      <c r="I10" s="27"/>
      <c r="J10" s="43">
        <f>COUNTIF(Daily_Tracker!G3:G32,"No")</f>
        <v>7</v>
      </c>
      <c r="K10" s="27"/>
    </row>
    <row r="11" spans="2:11" ht="22.15" customHeight="1" thickBot="1" x14ac:dyDescent="0.3">
      <c r="B11" s="48" t="str">
        <f>IF(D10&lt;50,"⚠️  IMPROVE YOUR DISCIPLINE — Consistency Below 50%",IF(D10&lt;80,"📌  MODERATE — Keep Pushing for 80%+","🔥  GREAT CONSISTENCY — You Are On Fire!"))</f>
        <v>🔥  GREAT CONSISTENCY — You Are On Fire!</v>
      </c>
      <c r="C11" s="27"/>
      <c r="D11" s="27"/>
      <c r="E11" s="27"/>
      <c r="H11" s="56" t="s">
        <v>32</v>
      </c>
      <c r="I11" s="27"/>
      <c r="J11" s="38" t="str">
        <f>INDEX({"Wake Up","Workout","Study","Diet","Water","Meditation"},MATCH(MAX(J5:J10),J5:J10,0))</f>
        <v>Meditation</v>
      </c>
      <c r="K11" s="27"/>
    </row>
    <row r="12" spans="2:11" ht="22.15" customHeight="1" x14ac:dyDescent="0.25"/>
    <row r="13" spans="2:11" ht="22.15" customHeight="1" x14ac:dyDescent="0.25"/>
    <row r="14" spans="2:11" ht="22.15" customHeight="1" thickBot="1" x14ac:dyDescent="0.3">
      <c r="B14" s="41" t="s">
        <v>50</v>
      </c>
      <c r="C14" s="27"/>
      <c r="D14" s="27"/>
      <c r="E14" s="27"/>
    </row>
    <row r="15" spans="2:11" ht="30" customHeight="1" thickBot="1" x14ac:dyDescent="0.3">
      <c r="B15" s="47" t="s">
        <v>51</v>
      </c>
      <c r="C15" s="27"/>
      <c r="D15" s="37">
        <v>46113</v>
      </c>
      <c r="E15" s="27"/>
    </row>
    <row r="16" spans="2:11" ht="22.15" customHeight="1" x14ac:dyDescent="0.25">
      <c r="B16" s="23" t="s">
        <v>0</v>
      </c>
      <c r="C16" s="23" t="s">
        <v>33</v>
      </c>
      <c r="D16" s="23" t="s">
        <v>34</v>
      </c>
      <c r="E16" s="23" t="s">
        <v>3</v>
      </c>
      <c r="F16" s="23" t="s">
        <v>4</v>
      </c>
    </row>
    <row r="17" spans="2:6" ht="22.15" customHeight="1" x14ac:dyDescent="0.25">
      <c r="B17" s="24">
        <f>IFERROR(INDEX(Daily_Tracker!A3:A32,MATCH(D15,Daily_Tracker!A3:A32,0)),"Not Found")</f>
        <v>46113</v>
      </c>
      <c r="C17" s="25" t="str">
        <f>IFERROR(INDEX(Daily_Tracker!B3:B32,MATCH(D15,Daily_Tracker!A3:A32,0)),"—")</f>
        <v>Yes</v>
      </c>
      <c r="D17" s="25" t="str">
        <f>IFERROR(INDEX(Daily_Tracker!C3:C32,MATCH(D15,Daily_Tracker!A3:A32,0)),"—")</f>
        <v>Yes</v>
      </c>
      <c r="E17" s="25">
        <f>IFERROR(INDEX(Daily_Tracker!H3:H32,MATCH(D15,Daily_Tracker!A3:A32,0)),"—")</f>
        <v>6</v>
      </c>
      <c r="F17" s="25" t="str">
        <f>IFERROR(INDEX(Daily_Tracker!I3:I32,MATCH(D15,Daily_Tracker!A3:A32,0)),"—")</f>
        <v>✅ Perfect</v>
      </c>
    </row>
    <row r="18" spans="2:6" ht="22.15" customHeight="1" x14ac:dyDescent="0.25"/>
    <row r="19" spans="2:6" ht="22.15" customHeight="1" x14ac:dyDescent="0.25">
      <c r="B19" s="39" t="s">
        <v>49</v>
      </c>
      <c r="C19" s="27"/>
      <c r="D19" s="27"/>
      <c r="E19" s="27"/>
    </row>
    <row r="20" spans="2:6" ht="22.15" customHeight="1" x14ac:dyDescent="0.25">
      <c r="B20" s="29" t="s">
        <v>35</v>
      </c>
      <c r="C20" s="30"/>
      <c r="D20" s="31">
        <f>IFERROR(COUNTIF(Daily_Tracker!B3:B32,"Yes")/30*100,0)</f>
        <v>86.666666666666671</v>
      </c>
      <c r="E20" s="32"/>
    </row>
    <row r="21" spans="2:6" ht="30" customHeight="1" x14ac:dyDescent="0.25">
      <c r="B21" s="29" t="s">
        <v>36</v>
      </c>
      <c r="C21" s="30"/>
      <c r="D21" s="31">
        <f>IFERROR(COUNTIF(Daily_Tracker!C3:C32,"Yes")/30*100,0)</f>
        <v>83.333333333333343</v>
      </c>
      <c r="E21" s="32"/>
    </row>
    <row r="22" spans="2:6" ht="22.15" customHeight="1" x14ac:dyDescent="0.25">
      <c r="B22" s="29" t="s">
        <v>37</v>
      </c>
      <c r="C22" s="30"/>
      <c r="D22" s="31">
        <f>IFERROR(COUNTIF(Daily_Tracker!D3:D32,"Yes")/30*100,0)</f>
        <v>96.666666666666671</v>
      </c>
      <c r="E22" s="32"/>
    </row>
    <row r="23" spans="2:6" ht="22.15" customHeight="1" x14ac:dyDescent="0.25">
      <c r="B23" s="29" t="s">
        <v>38</v>
      </c>
      <c r="C23" s="30"/>
      <c r="D23" s="31">
        <f>IFERROR(COUNTIF(Daily_Tracker!E3:E32,"Yes")/30*100,0)</f>
        <v>100</v>
      </c>
      <c r="E23" s="32"/>
    </row>
    <row r="24" spans="2:6" ht="22.15" customHeight="1" x14ac:dyDescent="0.25">
      <c r="B24" s="29" t="s">
        <v>39</v>
      </c>
      <c r="C24" s="30"/>
      <c r="D24" s="31">
        <f>IFERROR(COUNTIF(Daily_Tracker!F3:F32,"Yes")/30*100,0)</f>
        <v>90</v>
      </c>
      <c r="E24" s="32"/>
    </row>
    <row r="25" spans="2:6" ht="22.15" customHeight="1" x14ac:dyDescent="0.25">
      <c r="B25" s="29" t="s">
        <v>40</v>
      </c>
      <c r="C25" s="30"/>
      <c r="D25" s="31">
        <f>IFERROR(COUNTIF(Daily_Tracker!G3:G32,"Yes")/30*100,0)</f>
        <v>76.666666666666671</v>
      </c>
      <c r="E25" s="32"/>
    </row>
    <row r="26" spans="2:6" ht="22.15" customHeight="1" x14ac:dyDescent="0.25"/>
    <row r="27" spans="2:6" ht="30" customHeight="1" x14ac:dyDescent="0.25"/>
    <row r="28" spans="2:6" ht="22.15" customHeight="1" x14ac:dyDescent="0.25"/>
    <row r="29" spans="2:6" ht="22.15" customHeight="1" x14ac:dyDescent="0.25"/>
    <row r="30" spans="2:6" ht="22.15" customHeight="1" x14ac:dyDescent="0.25"/>
    <row r="31" spans="2:6" ht="22.15" customHeight="1" x14ac:dyDescent="0.25"/>
    <row r="32" spans="2:6" ht="22.15" customHeight="1" x14ac:dyDescent="0.25"/>
    <row r="33" ht="30" customHeight="1" x14ac:dyDescent="0.25"/>
    <row r="34" ht="22.15" customHeight="1" x14ac:dyDescent="0.25"/>
    <row r="35" ht="22.15" customHeight="1" x14ac:dyDescent="0.25"/>
    <row r="36" ht="22.15" customHeight="1" x14ac:dyDescent="0.25"/>
    <row r="37" ht="22.15" customHeight="1" x14ac:dyDescent="0.25"/>
    <row r="38" ht="22.15" customHeight="1" x14ac:dyDescent="0.25"/>
    <row r="39" ht="22.15" customHeight="1" x14ac:dyDescent="0.25"/>
    <row r="40" ht="22.15" customHeight="1" x14ac:dyDescent="0.25"/>
    <row r="41" ht="36" customHeight="1" x14ac:dyDescent="0.25"/>
    <row r="42" ht="22.15" customHeight="1" x14ac:dyDescent="0.25"/>
    <row r="43" ht="22.15" customHeight="1" x14ac:dyDescent="0.25"/>
    <row r="44" ht="22.15" customHeight="1" x14ac:dyDescent="0.25"/>
    <row r="45" ht="22.15" customHeight="1" x14ac:dyDescent="0.25"/>
    <row r="46" ht="22.15" customHeight="1" x14ac:dyDescent="0.25"/>
    <row r="47" ht="22.15" customHeight="1" x14ac:dyDescent="0.25"/>
    <row r="48" ht="22.15" customHeight="1" x14ac:dyDescent="0.25"/>
    <row r="49" ht="22.15" customHeight="1" x14ac:dyDescent="0.25"/>
    <row r="50" ht="22.15" customHeight="1" x14ac:dyDescent="0.25"/>
    <row r="51" ht="22.15" customHeight="1" x14ac:dyDescent="0.25"/>
    <row r="52" ht="22.15" customHeight="1" x14ac:dyDescent="0.25"/>
    <row r="53" ht="22.15" customHeight="1" x14ac:dyDescent="0.25"/>
    <row r="54" ht="22.15" customHeight="1" x14ac:dyDescent="0.25"/>
    <row r="55" ht="22.15" customHeight="1" x14ac:dyDescent="0.25"/>
    <row r="56" ht="22.15" customHeight="1" x14ac:dyDescent="0.25"/>
    <row r="57" ht="22.15" customHeight="1" x14ac:dyDescent="0.25"/>
    <row r="58" ht="22.15" customHeight="1" x14ac:dyDescent="0.25"/>
  </sheetData>
  <mergeCells count="47">
    <mergeCell ref="J9:K9"/>
    <mergeCell ref="B24:C24"/>
    <mergeCell ref="H11:I11"/>
    <mergeCell ref="J8:K8"/>
    <mergeCell ref="B6:C6"/>
    <mergeCell ref="J7:K7"/>
    <mergeCell ref="H10:I10"/>
    <mergeCell ref="J10:K10"/>
    <mergeCell ref="B2:E2"/>
    <mergeCell ref="J6:K6"/>
    <mergeCell ref="B8:C8"/>
    <mergeCell ref="D8:E8"/>
    <mergeCell ref="H5:I5"/>
    <mergeCell ref="B7:C7"/>
    <mergeCell ref="J5:K5"/>
    <mergeCell ref="D6:E6"/>
    <mergeCell ref="H7:I7"/>
    <mergeCell ref="D5:E5"/>
    <mergeCell ref="B3:E3"/>
    <mergeCell ref="H4:K4"/>
    <mergeCell ref="H6:I6"/>
    <mergeCell ref="H8:I8"/>
    <mergeCell ref="D15:E15"/>
    <mergeCell ref="D4:E4"/>
    <mergeCell ref="J11:K11"/>
    <mergeCell ref="D23:E23"/>
    <mergeCell ref="B19:E19"/>
    <mergeCell ref="B9:E9"/>
    <mergeCell ref="B14:E14"/>
    <mergeCell ref="B20:C20"/>
    <mergeCell ref="D20:E20"/>
    <mergeCell ref="B23:C23"/>
    <mergeCell ref="B15:C15"/>
    <mergeCell ref="B11:E11"/>
    <mergeCell ref="B22:C22"/>
    <mergeCell ref="D22:E22"/>
    <mergeCell ref="H9:I9"/>
    <mergeCell ref="B25:C25"/>
    <mergeCell ref="D24:E24"/>
    <mergeCell ref="D7:E7"/>
    <mergeCell ref="B5:C5"/>
    <mergeCell ref="B4:C4"/>
    <mergeCell ref="B21:C21"/>
    <mergeCell ref="B10:C10"/>
    <mergeCell ref="D10:E10"/>
    <mergeCell ref="D25:E25"/>
    <mergeCell ref="D21:E21"/>
  </mergeCells>
  <conditionalFormatting sqref="B19:E2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{368ABD84-1E9C-48D7-AC2D-C673C4C0A348}</x14:id>
        </ext>
      </extLst>
    </cfRule>
  </conditionalFormatting>
  <conditionalFormatting sqref="D10">
    <cfRule type="colorScale" priority="8">
      <colorScale>
        <cfvo type="num" val="0"/>
        <cfvo type="num" val="50"/>
        <cfvo type="num" val="100"/>
        <color rgb="FFFFCDD2"/>
        <color rgb="FFFFF9C4"/>
        <color rgb="FFC8E6C9"/>
      </colorScale>
    </cfRule>
    <cfRule type="dataBar" priority="9">
      <dataBar>
        <cfvo type="num" val="0"/>
        <cfvo type="num" val="100"/>
        <color rgb="FF2E7D32"/>
      </dataBar>
    </cfRule>
  </conditionalFormatting>
  <conditionalFormatting sqref="D20:D25">
    <cfRule type="colorScale" priority="10">
      <colorScale>
        <cfvo type="num" val="0"/>
        <cfvo type="num" val="50"/>
        <cfvo type="num" val="100"/>
        <color rgb="FFFFCDD2"/>
        <color rgb="FFFFF9C4"/>
        <color rgb="FFC8E6C9"/>
      </colorScale>
    </cfRule>
    <cfRule type="dataBar" priority="11">
      <dataBar>
        <cfvo type="num" val="0"/>
        <cfvo type="num" val="100"/>
        <color rgb="FFE64A19"/>
      </dataBar>
    </cfRule>
  </conditionalFormatting>
  <conditionalFormatting sqref="D10:E10">
    <cfRule type="dataBar" priority="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{5408D0E0-979B-4BBF-9AD2-7CE26E5173FE}</x14:id>
        </ext>
      </extLst>
    </cfRule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D20:E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{E3AE3808-19D9-436A-B13B-2D82455859F4}</x14:id>
        </ext>
      </extLst>
    </cfRule>
  </conditionalFormatting>
  <conditionalFormatting sqref="J5:K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{5049A118-3D3A-4350-8CBD-09BFD5254D58}</x14:id>
        </ext>
      </extLst>
    </cfRule>
  </conditionalFormatting>
  <conditionalFormatting sqref="J11:K11">
    <cfRule type="iconSet" priority="6">
      <iconSet iconSet="3Symbols2">
        <cfvo type="percent" val="0"/>
        <cfvo type="percent" val="33"/>
        <cfvo type="percent" val="67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8ABD84-1E9C-48D7-AC2D-C673C4C0A3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B19:E25</xm:sqref>
        </x14:conditionalFormatting>
        <x14:conditionalFormatting xmlns:xm="http://schemas.microsoft.com/office/excel/2006/main">
          <x14:cfRule type="dataBar" id="{5408D0E0-979B-4BBF-9AD2-7CE26E517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D10:E10</xm:sqref>
        </x14:conditionalFormatting>
        <x14:conditionalFormatting xmlns:xm="http://schemas.microsoft.com/office/excel/2006/main">
          <x14:cfRule type="dataBar" id="{E3AE3808-19D9-436A-B13B-2D82455859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iconSet" priority="5" id="{71B8F6F3-F091-49F7-BACA-9D4574F9AA9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D20:E25</xm:sqref>
        </x14:conditionalFormatting>
        <x14:conditionalFormatting xmlns:xm="http://schemas.microsoft.com/office/excel/2006/main">
          <x14:cfRule type="dataBar" id="{5049A118-3D3A-4350-8CBD-09BFD5254D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J5:K10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Daily_Tracker</vt:lpstr>
      <vt:lpstr>Weekly_Summary</vt:lpstr>
      <vt:lpstr>Dashboard</vt:lpstr>
      <vt:lpstr>Daily_Tracker!Print_Titles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bhatt</cp:lastModifiedBy>
  <dcterms:created xsi:type="dcterms:W3CDTF">2026-04-08T18:24:52Z</dcterms:created>
  <dcterms:modified xsi:type="dcterms:W3CDTF">2026-04-09T06:21:16Z</dcterms:modified>
</cp:coreProperties>
</file>